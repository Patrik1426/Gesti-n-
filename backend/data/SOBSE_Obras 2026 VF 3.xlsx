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X\Documents\2026\Anteproyecto 2026 31102025\POA 2026 CON AJUSTES 10112025\"/>
    </mc:Choice>
  </mc:AlternateContent>
  <xr:revisionPtr revIDLastSave="0" documentId="13_ncr:1_{27998B53-581B-4229-B4CD-B70E5BFA6142}" xr6:coauthVersionLast="47" xr6:coauthVersionMax="47" xr10:uidLastSave="{00000000-0000-0000-0000-000000000000}"/>
  <bookViews>
    <workbookView xWindow="-110" yWindow="-110" windowWidth="19420" windowHeight="11500" xr2:uid="{EB4EFF12-ABD1-49F6-BE8B-5A102008B447}"/>
  </bookViews>
  <sheets>
    <sheet name="Hoja3" sheetId="1" r:id="rId1"/>
  </sheets>
  <definedNames>
    <definedName name="_xlnm._FilterDatabase" localSheetId="0" hidden="1">Hoja3!$B$2:$D$37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D21" i="1"/>
  <c r="D19" i="1"/>
  <c r="D6" i="1"/>
  <c r="D18" i="1" l="1"/>
  <c r="D15" i="1" s="1"/>
  <c r="D5" i="1"/>
  <c r="D4" i="1" s="1"/>
</calcChain>
</file>

<file path=xl/sharedStrings.xml><?xml version="1.0" encoding="utf-8"?>
<sst xmlns="http://schemas.openxmlformats.org/spreadsheetml/2006/main" count="81" uniqueCount="51">
  <si>
    <t>Construcción de un Hospital General de Policías</t>
  </si>
  <si>
    <t>Construcción de la Clínica Especializada Condesa</t>
  </si>
  <si>
    <t xml:space="preserve">UTOPÍAS (Construcción y Rehabilitación) </t>
  </si>
  <si>
    <t>Bacheo en Vías Primarias y Secundarias (Mantenimiento)</t>
  </si>
  <si>
    <t>Repavimentación de Carpeta Asfáltica (Mantenimiento)- Multianualidad</t>
  </si>
  <si>
    <t>1,2,3 por mi Escuela (Mantenimiento)</t>
  </si>
  <si>
    <t>1,2,3 por mi Escuela - Multianualidad</t>
  </si>
  <si>
    <t>Ciudad Iluminada: Comunidad Segura (Construcción y Rehabilitación)</t>
  </si>
  <si>
    <t>Ciudad Iluminada: Comunidad Segura Multinualidad</t>
  </si>
  <si>
    <t>Rehabilitación y Mantenimiento para Parque Alegría</t>
  </si>
  <si>
    <t>Tlatelolco Mi Amor (Construcción y Rehabilitación)-Multinualidad</t>
  </si>
  <si>
    <t>Casas de las 3Rs del Cuidado (Construcción y Rehabilitación)</t>
  </si>
  <si>
    <t>Puentes Vehiculares (Mantenimiento)</t>
  </si>
  <si>
    <t>UTOPÍAS Iztapalapa (Mantenimiento)</t>
  </si>
  <si>
    <t>Puentes Peatonales (Mantenimiento)</t>
  </si>
  <si>
    <t>Bajo Puentes y Deprimidos (Mantenimiento)</t>
  </si>
  <si>
    <t xml:space="preserve">Línea 10 Trolebús Elevado Iztapalapa (Rehabilitación) </t>
  </si>
  <si>
    <t xml:space="preserve">Monto </t>
  </si>
  <si>
    <t xml:space="preserve">Total </t>
  </si>
  <si>
    <t>Construcción de la Línea 5 Magdalena Contreras-Álvaro Obregón: Cablebús</t>
  </si>
  <si>
    <t>Construcción de la Línea 6 Milpa Alta-Tláhuac: Cablebús</t>
  </si>
  <si>
    <t>Inversión 2026: Obras</t>
  </si>
  <si>
    <t>(Cifras en millones de pesos)</t>
  </si>
  <si>
    <t>Proyecto de Presupuesto 2026</t>
  </si>
  <si>
    <t>Rehabilitación Ejes Viales (banquetas, guarniciones, señalización y mobiliario urbano)</t>
  </si>
  <si>
    <t>2000 Materiales y suministros</t>
  </si>
  <si>
    <t>3000 Servicios generales</t>
  </si>
  <si>
    <t>4000 Transferencias, asignaciones, subsidios y otras ayudas</t>
  </si>
  <si>
    <t>Mantenimiento Integral Del Circuito Interior- Multianualidad</t>
  </si>
  <si>
    <t>Proyectos</t>
  </si>
  <si>
    <t>1000 Servicios Personales</t>
  </si>
  <si>
    <t>Anteproyectos Utopías</t>
  </si>
  <si>
    <t>Construcción del Centro para el Resguardo Temporal</t>
  </si>
  <si>
    <t>Parques alegría: 100 Canchas para el Mundial-Multianualidad</t>
  </si>
  <si>
    <t>Partida centralizada capítulo 3000</t>
  </si>
  <si>
    <t>Residuos solidos urbanos de la ciudad de méxico</t>
  </si>
  <si>
    <t>Gastos de operación capitulo 3000</t>
  </si>
  <si>
    <t>AREA</t>
  </si>
  <si>
    <t>DGAF</t>
  </si>
  <si>
    <t>DGOT</t>
  </si>
  <si>
    <t>DGCOP</t>
  </si>
  <si>
    <t>DGOIV</t>
  </si>
  <si>
    <t>DGSUS</t>
  </si>
  <si>
    <t>DGSUS/DGSUS</t>
  </si>
  <si>
    <t>DGOT/DGCOP</t>
  </si>
  <si>
    <t>2000 Mezcla asfaltica</t>
  </si>
  <si>
    <t>3000 Servicios Urbanos</t>
  </si>
  <si>
    <t>3000 Servicios generales (centralizadas)</t>
  </si>
  <si>
    <t>observaciones</t>
  </si>
  <si>
    <t>YA SE CUENTA CON FICHA</t>
  </si>
  <si>
    <t>DGSUS/DGOIV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</si>
</sst>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b/>
      <sz val="10"/>
      <color theme="0"/>
      <name val="Roboto"/>
    </font>
    <font>
      <sz val="8"/>
      <name val="Calibri"/>
      <family val="2"/>
      <scheme val="minor"/>
    </font>
    <font>
      <sz val="9"/>
      <color rgb="FF000000"/>
      <name val="Roboto"/>
    </font>
    <font>
      <sz val="9"/>
      <color theme="1"/>
      <name val="Roboto"/>
    </font>
    <font>
      <b/>
      <sz val="9"/>
      <color theme="0"/>
      <name val="Roboto"/>
    </font>
    <font>
      <i/>
      <sz val="8"/>
      <color theme="1"/>
      <name val="Roboto"/>
    </font>
    <font>
      <b/>
      <sz val="9"/>
      <color theme="1"/>
      <name val="Roboto"/>
    </font>
    <font>
      <b/>
      <sz val="9"/>
      <color rgb="FF000000"/>
      <name val="Roboto"/>
    </font>
    <font>
      <i/>
      <sz val="9"/>
      <color rgb="FF000000"/>
      <name val="Roboto"/>
    </font>
    <font>
      <i/>
      <sz val="9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4" borderId="0" xfId="0" applyFont="1" applyFill="1"/>
    <xf numFmtId="164" fontId="4" fillId="3" borderId="0" xfId="1" applyNumberFormat="1" applyFont="1" applyFill="1" applyBorder="1" applyAlignment="1">
      <alignment horizontal="center" vertical="center"/>
    </xf>
    <xf numFmtId="164" fontId="8" fillId="5" borderId="0" xfId="1" applyNumberFormat="1" applyFont="1" applyFill="1" applyBorder="1" applyAlignment="1">
      <alignment horizontal="center"/>
    </xf>
    <xf numFmtId="164" fontId="4" fillId="5" borderId="0" xfId="1" applyNumberFormat="1" applyFont="1" applyFill="1" applyBorder="1" applyAlignment="1">
      <alignment horizontal="right"/>
    </xf>
    <xf numFmtId="164" fontId="7" fillId="0" borderId="1" xfId="1" applyNumberFormat="1" applyFont="1" applyFill="1" applyBorder="1" applyAlignment="1">
      <alignment horizontal="right"/>
    </xf>
    <xf numFmtId="164" fontId="7" fillId="0" borderId="2" xfId="1" applyNumberFormat="1" applyFont="1" applyFill="1" applyBorder="1" applyAlignment="1">
      <alignment horizontal="right"/>
    </xf>
    <xf numFmtId="164" fontId="7" fillId="0" borderId="2" xfId="1" applyNumberFormat="1" applyFont="1" applyFill="1" applyBorder="1" applyAlignment="1">
      <alignment horizontal="right" indent="1"/>
    </xf>
    <xf numFmtId="164" fontId="7" fillId="0" borderId="3" xfId="1" applyNumberFormat="1" applyFont="1" applyFill="1" applyBorder="1" applyAlignment="1">
      <alignment horizontal="right"/>
    </xf>
    <xf numFmtId="164" fontId="10" fillId="2" borderId="2" xfId="1" applyNumberFormat="1" applyFont="1" applyFill="1" applyBorder="1" applyAlignment="1">
      <alignment horizontal="right"/>
    </xf>
    <xf numFmtId="0" fontId="11" fillId="2" borderId="2" xfId="0" applyFont="1" applyFill="1" applyBorder="1" applyAlignment="1">
      <alignment horizontal="left"/>
    </xf>
    <xf numFmtId="0" fontId="6" fillId="0" borderId="1" xfId="0" applyFont="1" applyBorder="1" applyAlignment="1">
      <alignment horizontal="left" indent="2"/>
    </xf>
    <xf numFmtId="0" fontId="6" fillId="0" borderId="2" xfId="0" applyFont="1" applyBorder="1" applyAlignment="1">
      <alignment horizontal="left" indent="2"/>
    </xf>
    <xf numFmtId="0" fontId="6" fillId="0" borderId="3" xfId="0" applyFont="1" applyBorder="1" applyAlignment="1">
      <alignment horizontal="left" indent="2"/>
    </xf>
    <xf numFmtId="0" fontId="12" fillId="0" borderId="2" xfId="0" applyFont="1" applyBorder="1" applyAlignment="1">
      <alignment horizontal="left" indent="8"/>
    </xf>
    <xf numFmtId="164" fontId="13" fillId="0" borderId="2" xfId="1" applyNumberFormat="1" applyFont="1" applyFill="1" applyBorder="1" applyAlignment="1">
      <alignment horizontal="right"/>
    </xf>
    <xf numFmtId="0" fontId="3" fillId="2" borderId="0" xfId="0" applyFont="1" applyFill="1"/>
    <xf numFmtId="43" fontId="3" fillId="0" borderId="0" xfId="0" applyNumberFormat="1" applyFo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3" fillId="0" borderId="0" xfId="0" applyNumberFormat="1" applyFont="1"/>
    <xf numFmtId="164" fontId="3" fillId="0" borderId="0" xfId="0" applyNumberFormat="1" applyFont="1"/>
    <xf numFmtId="0" fontId="3" fillId="0" borderId="0" xfId="0" applyFont="1" applyFill="1"/>
    <xf numFmtId="0" fontId="6" fillId="0" borderId="2" xfId="0" applyFont="1" applyFill="1" applyBorder="1" applyAlignment="1">
      <alignment horizontal="left" indent="2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8FAA-976F-45E3-8492-71DE1CAAA3B0}">
  <dimension ref="B1:E41"/>
  <sheetViews>
    <sheetView showGridLines="0" tabSelected="1" zoomScale="98" zoomScaleNormal="98" workbookViewId="0">
      <selection activeCell="C1" sqref="C1:D1"/>
    </sheetView>
  </sheetViews>
  <sheetFormatPr baseColWidth="10" defaultColWidth="11.453125" defaultRowHeight="13" x14ac:dyDescent="0.3"/>
  <cols>
    <col min="1" max="1" width="11.453125" style="1"/>
    <col min="2" max="2" width="13.36328125" style="1" customWidth="1"/>
    <col min="3" max="3" width="67.6328125" style="1" customWidth="1"/>
    <col min="4" max="4" width="13.6328125" style="1" bestFit="1" customWidth="1"/>
    <col min="5" max="5" width="14.1796875" style="1" customWidth="1"/>
    <col min="6" max="16384" width="11.453125" style="1"/>
  </cols>
  <sheetData>
    <row r="1" spans="2:5" x14ac:dyDescent="0.3">
      <c r="C1" s="20" t="s">
        <v>21</v>
      </c>
      <c r="D1" s="20"/>
    </row>
    <row r="2" spans="2:5" x14ac:dyDescent="0.3">
      <c r="C2" s="19" t="s">
        <v>22</v>
      </c>
      <c r="D2" s="19"/>
    </row>
    <row r="3" spans="2:5" ht="15.75" customHeight="1" x14ac:dyDescent="0.3">
      <c r="C3" s="3" t="s">
        <v>23</v>
      </c>
      <c r="D3" s="3" t="s">
        <v>17</v>
      </c>
      <c r="E3" s="3" t="s">
        <v>48</v>
      </c>
    </row>
    <row r="4" spans="2:5" x14ac:dyDescent="0.3">
      <c r="B4" s="4" t="s">
        <v>37</v>
      </c>
      <c r="C4" s="4" t="s">
        <v>18</v>
      </c>
      <c r="D4" s="5">
        <f>+D5+D6+D7+D8+D13+D14+D15+D12</f>
        <v>18599.999674500003</v>
      </c>
      <c r="E4" s="21"/>
    </row>
    <row r="5" spans="2:5" x14ac:dyDescent="0.3">
      <c r="B5" s="1" t="s">
        <v>38</v>
      </c>
      <c r="C5" s="13" t="s">
        <v>30</v>
      </c>
      <c r="D5" s="7">
        <f>1227076603/1000000</f>
        <v>1227.076603</v>
      </c>
    </row>
    <row r="6" spans="2:5" x14ac:dyDescent="0.3">
      <c r="B6" s="1" t="s">
        <v>38</v>
      </c>
      <c r="C6" s="13" t="s">
        <v>25</v>
      </c>
      <c r="D6" s="7">
        <f>562.668397</f>
        <v>562.66839700000003</v>
      </c>
    </row>
    <row r="7" spans="2:5" x14ac:dyDescent="0.3">
      <c r="B7" s="1" t="s">
        <v>41</v>
      </c>
      <c r="C7" s="13" t="s">
        <v>45</v>
      </c>
      <c r="D7" s="7">
        <v>550</v>
      </c>
      <c r="E7" s="18"/>
    </row>
    <row r="8" spans="2:5" x14ac:dyDescent="0.3">
      <c r="B8" s="1" t="s">
        <v>38</v>
      </c>
      <c r="C8" s="13" t="s">
        <v>47</v>
      </c>
      <c r="D8" s="7">
        <v>121.1246745</v>
      </c>
    </row>
    <row r="9" spans="2:5" hidden="1" x14ac:dyDescent="0.3">
      <c r="C9" s="15" t="s">
        <v>35</v>
      </c>
      <c r="D9" s="16">
        <v>2243.1948750000001</v>
      </c>
    </row>
    <row r="10" spans="2:5" hidden="1" x14ac:dyDescent="0.3">
      <c r="C10" s="15" t="s">
        <v>36</v>
      </c>
      <c r="D10" s="16">
        <v>1000</v>
      </c>
    </row>
    <row r="11" spans="2:5" hidden="1" x14ac:dyDescent="0.3">
      <c r="C11" s="15" t="s">
        <v>34</v>
      </c>
      <c r="D11" s="16">
        <v>188.74392819999997</v>
      </c>
    </row>
    <row r="12" spans="2:5" x14ac:dyDescent="0.3">
      <c r="B12" s="1" t="s">
        <v>38</v>
      </c>
      <c r="C12" s="13" t="s">
        <v>26</v>
      </c>
      <c r="D12" s="16">
        <f>170.9+0.78</f>
        <v>171.68</v>
      </c>
      <c r="E12" s="18"/>
    </row>
    <row r="13" spans="2:5" x14ac:dyDescent="0.3">
      <c r="B13" s="1" t="s">
        <v>42</v>
      </c>
      <c r="C13" s="13" t="s">
        <v>46</v>
      </c>
      <c r="D13" s="16">
        <v>3139.0950000000003</v>
      </c>
    </row>
    <row r="14" spans="2:5" x14ac:dyDescent="0.3">
      <c r="B14" s="1" t="s">
        <v>50</v>
      </c>
      <c r="C14" s="13" t="s">
        <v>27</v>
      </c>
      <c r="D14" s="7">
        <v>503.7</v>
      </c>
      <c r="E14" s="18"/>
    </row>
    <row r="15" spans="2:5" x14ac:dyDescent="0.3">
      <c r="B15" s="4" t="s">
        <v>37</v>
      </c>
      <c r="C15" s="11" t="s">
        <v>29</v>
      </c>
      <c r="D15" s="10">
        <f>+SUM(D16:D39)</f>
        <v>12324.655000000001</v>
      </c>
      <c r="E15" s="22"/>
    </row>
    <row r="16" spans="2:5" x14ac:dyDescent="0.3">
      <c r="B16" s="1" t="s">
        <v>39</v>
      </c>
      <c r="C16" s="12" t="s">
        <v>19</v>
      </c>
      <c r="D16" s="6">
        <v>2569.1</v>
      </c>
      <c r="E16" s="1" t="s">
        <v>49</v>
      </c>
    </row>
    <row r="17" spans="2:5" x14ac:dyDescent="0.3">
      <c r="B17" s="1" t="s">
        <v>39</v>
      </c>
      <c r="C17" s="13" t="s">
        <v>20</v>
      </c>
      <c r="D17" s="7">
        <v>1990.6</v>
      </c>
      <c r="E17" s="1" t="s">
        <v>49</v>
      </c>
    </row>
    <row r="18" spans="2:5" x14ac:dyDescent="0.3">
      <c r="B18" s="1" t="s">
        <v>40</v>
      </c>
      <c r="C18" s="13" t="s">
        <v>2</v>
      </c>
      <c r="D18" s="7">
        <f>2000+500</f>
        <v>2500</v>
      </c>
    </row>
    <row r="19" spans="2:5" x14ac:dyDescent="0.3">
      <c r="B19" s="1" t="s">
        <v>41</v>
      </c>
      <c r="C19" s="13" t="s">
        <v>4</v>
      </c>
      <c r="D19" s="7">
        <f>2000-440</f>
        <v>1560</v>
      </c>
    </row>
    <row r="20" spans="2:5" x14ac:dyDescent="0.3">
      <c r="B20" s="1" t="s">
        <v>40</v>
      </c>
      <c r="C20" s="13" t="s">
        <v>28</v>
      </c>
      <c r="D20" s="7">
        <v>664</v>
      </c>
    </row>
    <row r="21" spans="2:5" x14ac:dyDescent="0.3">
      <c r="B21" s="23" t="s">
        <v>41</v>
      </c>
      <c r="C21" s="24" t="s">
        <v>3</v>
      </c>
      <c r="D21" s="7">
        <f>500-110</f>
        <v>390</v>
      </c>
    </row>
    <row r="22" spans="2:5" x14ac:dyDescent="0.3">
      <c r="B22" s="1" t="s">
        <v>40</v>
      </c>
      <c r="C22" s="13" t="s">
        <v>11</v>
      </c>
      <c r="D22" s="7">
        <v>400</v>
      </c>
    </row>
    <row r="23" spans="2:5" x14ac:dyDescent="0.3">
      <c r="B23" s="1" t="s">
        <v>40</v>
      </c>
      <c r="C23" s="13" t="s">
        <v>5</v>
      </c>
      <c r="D23" s="7">
        <v>350</v>
      </c>
    </row>
    <row r="24" spans="2:5" x14ac:dyDescent="0.3">
      <c r="B24" s="1" t="s">
        <v>40</v>
      </c>
      <c r="C24" s="13" t="s">
        <v>0</v>
      </c>
      <c r="D24" s="7">
        <v>350</v>
      </c>
    </row>
    <row r="25" spans="2:5" x14ac:dyDescent="0.3">
      <c r="B25" s="1" t="s">
        <v>42</v>
      </c>
      <c r="C25" s="13" t="s">
        <v>8</v>
      </c>
      <c r="D25" s="7">
        <v>244.77</v>
      </c>
      <c r="E25" s="1" t="s">
        <v>49</v>
      </c>
    </row>
    <row r="26" spans="2:5" x14ac:dyDescent="0.3">
      <c r="B26" s="1" t="s">
        <v>42</v>
      </c>
      <c r="C26" s="13" t="s">
        <v>7</v>
      </c>
      <c r="D26" s="7">
        <v>232.56000000000003</v>
      </c>
      <c r="E26" s="1" t="s">
        <v>49</v>
      </c>
    </row>
    <row r="27" spans="2:5" x14ac:dyDescent="0.3">
      <c r="B27" s="1" t="s">
        <v>42</v>
      </c>
      <c r="C27" s="13" t="s">
        <v>9</v>
      </c>
      <c r="D27" s="7">
        <v>200</v>
      </c>
    </row>
    <row r="28" spans="2:5" x14ac:dyDescent="0.3">
      <c r="B28" s="1" t="s">
        <v>40</v>
      </c>
      <c r="C28" s="13" t="s">
        <v>32</v>
      </c>
      <c r="D28" s="7">
        <v>150</v>
      </c>
    </row>
    <row r="29" spans="2:5" x14ac:dyDescent="0.3">
      <c r="B29" s="1" t="s">
        <v>44</v>
      </c>
      <c r="C29" s="13" t="s">
        <v>12</v>
      </c>
      <c r="D29" s="7">
        <v>100</v>
      </c>
    </row>
    <row r="30" spans="2:5" x14ac:dyDescent="0.3">
      <c r="B30" s="1" t="s">
        <v>40</v>
      </c>
      <c r="C30" s="13" t="s">
        <v>31</v>
      </c>
      <c r="D30" s="7">
        <v>100</v>
      </c>
    </row>
    <row r="31" spans="2:5" x14ac:dyDescent="0.3">
      <c r="B31" s="1" t="s">
        <v>41</v>
      </c>
      <c r="C31" s="13" t="s">
        <v>24</v>
      </c>
      <c r="D31" s="7">
        <v>91.125</v>
      </c>
    </row>
    <row r="32" spans="2:5" x14ac:dyDescent="0.3">
      <c r="B32" s="1" t="s">
        <v>40</v>
      </c>
      <c r="C32" s="13" t="s">
        <v>6</v>
      </c>
      <c r="D32" s="7">
        <v>90</v>
      </c>
      <c r="E32" s="1" t="s">
        <v>49</v>
      </c>
    </row>
    <row r="33" spans="2:5" x14ac:dyDescent="0.3">
      <c r="B33" s="1" t="s">
        <v>42</v>
      </c>
      <c r="C33" s="13" t="s">
        <v>33</v>
      </c>
      <c r="D33" s="7">
        <v>80</v>
      </c>
      <c r="E33" s="1" t="s">
        <v>49</v>
      </c>
    </row>
    <row r="34" spans="2:5" x14ac:dyDescent="0.3">
      <c r="B34" s="1" t="s">
        <v>44</v>
      </c>
      <c r="C34" s="13" t="s">
        <v>15</v>
      </c>
      <c r="D34" s="7">
        <v>80</v>
      </c>
    </row>
    <row r="35" spans="2:5" s="2" customFormat="1" x14ac:dyDescent="0.3">
      <c r="B35" s="2" t="s">
        <v>41</v>
      </c>
      <c r="C35" s="13" t="s">
        <v>13</v>
      </c>
      <c r="D35" s="8">
        <v>50</v>
      </c>
    </row>
    <row r="36" spans="2:5" x14ac:dyDescent="0.3">
      <c r="B36" s="1" t="s">
        <v>44</v>
      </c>
      <c r="C36" s="13" t="s">
        <v>14</v>
      </c>
      <c r="D36" s="7">
        <v>50</v>
      </c>
    </row>
    <row r="37" spans="2:5" x14ac:dyDescent="0.3">
      <c r="B37" s="1" t="s">
        <v>40</v>
      </c>
      <c r="C37" s="13" t="s">
        <v>1</v>
      </c>
      <c r="D37" s="7">
        <v>40</v>
      </c>
    </row>
    <row r="38" spans="2:5" x14ac:dyDescent="0.3">
      <c r="B38" s="1" t="s">
        <v>43</v>
      </c>
      <c r="C38" s="13" t="s">
        <v>10</v>
      </c>
      <c r="D38" s="7">
        <v>32.5</v>
      </c>
      <c r="E38" s="1" t="s">
        <v>49</v>
      </c>
    </row>
    <row r="39" spans="2:5" x14ac:dyDescent="0.3">
      <c r="B39" s="1" t="s">
        <v>39</v>
      </c>
      <c r="C39" s="14" t="s">
        <v>16</v>
      </c>
      <c r="D39" s="9">
        <v>10</v>
      </c>
    </row>
    <row r="41" spans="2:5" x14ac:dyDescent="0.3">
      <c r="C41" s="17"/>
      <c r="D41" s="17"/>
    </row>
  </sheetData>
  <sortState xmlns:xlrd2="http://schemas.microsoft.com/office/spreadsheetml/2017/richdata2" ref="C9:D11">
    <sortCondition descending="1" ref="D9:D11"/>
  </sortState>
  <mergeCells count="2">
    <mergeCell ref="C2:D2"/>
    <mergeCell ref="C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Rivera Silva</dc:creator>
  <cp:lastModifiedBy>USUARIOX</cp:lastModifiedBy>
  <dcterms:created xsi:type="dcterms:W3CDTF">2025-11-24T04:30:31Z</dcterms:created>
  <dcterms:modified xsi:type="dcterms:W3CDTF">2025-11-26T06:00:53Z</dcterms:modified>
</cp:coreProperties>
</file>